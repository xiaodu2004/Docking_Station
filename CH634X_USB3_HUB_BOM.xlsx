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清单" sheetId="1" state="visible" r:id="rId2"/>
    <sheet name="采购汇总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<sst xmlns="http://schemas.openxmlformats.org/spreadsheetml/2006/main" count="157" uniqueCount="111">
  <si>
    <t xml:space="preserve">CH634X USB3.0 Type-C HUB｜BOM 清单</t>
  </si>
  <si>
    <t xml:space="preserve">类别</t>
  </si>
  <si>
    <t xml:space="preserve">位号</t>
  </si>
  <si>
    <t xml:space="preserve">器件名称</t>
  </si>
  <si>
    <t xml:space="preserve">参数 / 型号</t>
  </si>
  <si>
    <t xml:space="preserve">封装</t>
  </si>
  <si>
    <t xml:space="preserve">立创编号</t>
  </si>
  <si>
    <t xml:space="preserve">数量</t>
  </si>
  <si>
    <t xml:space="preserve">电子元件</t>
  </si>
  <si>
    <t xml:space="preserve">C1, C2</t>
  </si>
  <si>
    <t xml:space="preserve">瓷片电容</t>
  </si>
  <si>
    <t xml:space="preserve">20pF</t>
  </si>
  <si>
    <t xml:space="preserve">C0603</t>
  </si>
  <si>
    <t xml:space="preserve">C1648</t>
  </si>
  <si>
    <t xml:space="preserve">C5, C8, C11, C12, C13, C14, C15, C16, C17, C18, C19, C22, C23, C24, C25</t>
  </si>
  <si>
    <t xml:space="preserve">100nF</t>
  </si>
  <si>
    <t xml:space="preserve">C5137636</t>
  </si>
  <si>
    <t xml:space="preserve">C20, C26, C27, C28, C29, C30, C33, C34, C35, C36, C39, C40, C43, C44</t>
  </si>
  <si>
    <t xml:space="preserve">C0402</t>
  </si>
  <si>
    <t xml:space="preserve">C1525</t>
  </si>
  <si>
    <t xml:space="preserve">D1, D2, D3</t>
  </si>
  <si>
    <t xml:space="preserve">ESD保护芯片</t>
  </si>
  <si>
    <t xml:space="preserve">CH412K</t>
  </si>
  <si>
    <t xml:space="preserve">SOT-363</t>
  </si>
  <si>
    <t xml:space="preserve">C89184</t>
  </si>
  <si>
    <t xml:space="preserve">LED1</t>
  </si>
  <si>
    <t xml:space="preserve">LED</t>
  </si>
  <si>
    <t xml:space="preserve">LTST-C190KSKT</t>
  </si>
  <si>
    <t xml:space="preserve">LED0603-RD</t>
  </si>
  <si>
    <t xml:space="preserve">C125095</t>
  </si>
  <si>
    <t xml:space="preserve">R5, R6</t>
  </si>
  <si>
    <t xml:space="preserve">电阻</t>
  </si>
  <si>
    <t xml:space="preserve">5.1kΩ</t>
  </si>
  <si>
    <t xml:space="preserve">R0402</t>
  </si>
  <si>
    <t xml:space="preserve">C2906948</t>
  </si>
  <si>
    <t xml:space="preserve">R7, R8, R9, R10, R11, R12, R13, R14</t>
  </si>
  <si>
    <t xml:space="preserve">56kΩ</t>
  </si>
  <si>
    <t xml:space="preserve">R0603</t>
  </si>
  <si>
    <t xml:space="preserve">C23206</t>
  </si>
  <si>
    <t xml:space="preserve">R15</t>
  </si>
  <si>
    <t xml:space="preserve">C2907044</t>
  </si>
  <si>
    <t xml:space="preserve">R1, R2, R3, R4</t>
  </si>
  <si>
    <t xml:space="preserve">10kΩ</t>
  </si>
  <si>
    <t xml:space="preserve">C2930027</t>
  </si>
  <si>
    <t xml:space="preserve">U1</t>
  </si>
  <si>
    <t xml:space="preserve">USB HUB主控</t>
  </si>
  <si>
    <t xml:space="preserve">CH634X</t>
  </si>
  <si>
    <t xml:space="preserve">QFN-68 8×8mm</t>
  </si>
  <si>
    <t xml:space="preserve">C48985831</t>
  </si>
  <si>
    <t xml:space="preserve">U2, U5, U7</t>
  </si>
  <si>
    <t xml:space="preserve">USB-A 3.0连接器</t>
  </si>
  <si>
    <t xml:space="preserve">HC-USB3.0-L257-P</t>
  </si>
  <si>
    <t xml:space="preserve">USB3.0-A TH</t>
  </si>
  <si>
    <t xml:space="preserve">C7501847</t>
  </si>
  <si>
    <t xml:space="preserve">U3, U4, U6, U8</t>
  </si>
  <si>
    <t xml:space="preserve">USB电源开关</t>
  </si>
  <si>
    <t xml:space="preserve">CH217A</t>
  </si>
  <si>
    <t xml:space="preserve">SOT-23-6</t>
  </si>
  <si>
    <t xml:space="preserve">C54973763</t>
  </si>
  <si>
    <t xml:space="preserve">USB1, USB2</t>
  </si>
  <si>
    <t xml:space="preserve">USB Type-C连接器</t>
  </si>
  <si>
    <t xml:space="preserve">TYPE-C 24P QCHT</t>
  </si>
  <si>
    <t xml:space="preserve">TYPE-C SMD 24P</t>
  </si>
  <si>
    <t xml:space="preserve">C456013</t>
  </si>
  <si>
    <t xml:space="preserve">X1</t>
  </si>
  <si>
    <t xml:space="preserve">晶振</t>
  </si>
  <si>
    <t xml:space="preserve">24MHz</t>
  </si>
  <si>
    <t xml:space="preserve">SMD 4Pin</t>
  </si>
  <si>
    <t xml:space="preserve">C70590</t>
  </si>
  <si>
    <t xml:space="preserve">C31, C32, C37, C47</t>
  </si>
  <si>
    <t xml:space="preserve">贴片铝电解电容</t>
  </si>
  <si>
    <t xml:space="preserve">100uF</t>
  </si>
  <si>
    <t xml:space="preserve">CAP-SMD Φ6.3mm</t>
  </si>
  <si>
    <t xml:space="preserve">C46550415</t>
  </si>
  <si>
    <t xml:space="preserve">D4</t>
  </si>
  <si>
    <t xml:space="preserve">CH412Z</t>
  </si>
  <si>
    <t xml:space="preserve">SC-70-5</t>
  </si>
  <si>
    <t xml:space="preserve">C89185</t>
  </si>
  <si>
    <t xml:space="preserve">C3, C6, C9, C10</t>
  </si>
  <si>
    <t xml:space="preserve">10uF</t>
  </si>
  <si>
    <t xml:space="preserve">C5137565</t>
  </si>
  <si>
    <t xml:space="preserve">C4, C7, C21</t>
  </si>
  <si>
    <t xml:space="preserve">1uF</t>
  </si>
  <si>
    <t xml:space="preserve">C1592</t>
  </si>
  <si>
    <t xml:space="preserve">D6</t>
  </si>
  <si>
    <t xml:space="preserve">肖特基二极管</t>
  </si>
  <si>
    <t xml:space="preserve">SS14</t>
  </si>
  <si>
    <t xml:space="preserve">SMA</t>
  </si>
  <si>
    <t xml:space="preserve">C83852</t>
  </si>
  <si>
    <t xml:space="preserve">L1</t>
  </si>
  <si>
    <t xml:space="preserve">功率电感</t>
  </si>
  <si>
    <t xml:space="preserve">2.2uH</t>
  </si>
  <si>
    <t xml:space="preserve">SMA_L4.3-W2.6-LS5.2-RD</t>
  </si>
  <si>
    <t xml:space="preserve">C83852 </t>
  </si>
  <si>
    <t xml:space="preserve">机械件</t>
  </si>
  <si>
    <t xml:space="preserve">-</t>
  </si>
  <si>
    <t xml:space="preserve">平头十字螺栓</t>
  </si>
  <si>
    <t xml:space="preserve">M2.5</t>
  </si>
  <si>
    <t xml:space="preserve">单头隔离柱</t>
  </si>
  <si>
    <t xml:space="preserve">M2.5×6+5</t>
  </si>
  <si>
    <t xml:space="preserve">双通隔离柱</t>
  </si>
  <si>
    <t xml:space="preserve">采购汇总</t>
  </si>
  <si>
    <t xml:space="preserve">BOM条目</t>
  </si>
  <si>
    <t xml:space="preserve">总数量</t>
  </si>
  <si>
    <t xml:space="preserve">建议采购余量</t>
  </si>
  <si>
    <t xml:space="preserve">备注</t>
  </si>
  <si>
    <t xml:space="preserve">建议按焊接损耗适量多备</t>
  </si>
  <si>
    <t xml:space="preserve">电阻/电容等小料建议多备</t>
  </si>
  <si>
    <t xml:space="preserve">按实际装配数量采购</t>
  </si>
  <si>
    <t xml:space="preserve">共3类</t>
  </si>
  <si>
    <t xml:space="preserve">合计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</si>
</sst>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274E13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7FBFF"/>
        <bgColor rgb="FFFFFFFF"/>
      </patternFill>
    </fill>
    <fill>
      <patternFill patternType="solid">
        <fgColor rgb="FFFFF2CC"/>
        <bgColor rgb="FFF7FBFF"/>
      </patternFill>
    </fill>
    <fill>
      <patternFill patternType="solid">
        <fgColor rgb="FFD9EAD3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6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2F75B5"/>
        </patternFill>
      </fill>
    </dxf>
    <dxf>
      <fill>
        <patternFill patternType="solid">
          <fgColor rgb="FFF7FBFF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7FB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OMTable" displayName="BOMTable" ref="A3:G26" headerRowCount="1" totalsRowCount="0" totalsRowShown="0">
  <tableColumns count="7">
    <tableColumn id="1" name="类别"/>
    <tableColumn id="2" name="位号"/>
    <tableColumn id="3" name="器件名称"/>
    <tableColumn id="4" name="参数 / 型号"/>
    <tableColumn id="5" name="封装"/>
    <tableColumn id="6" name="立创编号"/>
    <tableColumn id="7" name="数量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3" activeCellId="0" sqref="J23"/>
    </sheetView>
  </sheetViews>
  <sheetFormatPr defaultColWidth="9.4609375" defaultRowHeight="12.8" zeroHeight="false" outlineLevelRow="0" outlineLevelCol="0"/>
  <cols>
    <col collapsed="false" customWidth="true" hidden="false" outlineLevel="0" max="1" min="1" style="0" width="12.07"/>
    <col collapsed="false" customWidth="true" hidden="false" outlineLevel="0" max="2" min="2" style="0" width="41.68"/>
    <col collapsed="false" customWidth="true" hidden="false" outlineLevel="0" max="4" min="3" style="0" width="24.14"/>
    <col collapsed="false" customWidth="true" hidden="false" outlineLevel="0" max="5" min="5" style="0" width="21.94"/>
    <col collapsed="false" customWidth="true" hidden="false" outlineLevel="0" max="6" min="6" style="0" width="17.55"/>
    <col collapsed="false" customWidth="true" hidden="false" outlineLevel="0" max="7" min="7" style="0" width="9.87"/>
    <col collapsed="false" customWidth="true" hidden="false" outlineLevel="0" max="1024" min="1023" style="0" width="11.52"/>
  </cols>
  <sheetData>
    <row r="1" customFormat="false" ht="32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true" customHeight="false" outlineLevel="0" collapsed="false"/>
    <row r="3" customFormat="false" ht="2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30" hidden="false" customHeight="true" outlineLevel="0" collapsed="false">
      <c r="A4" s="3" t="s">
        <v>8</v>
      </c>
      <c r="B4" s="4" t="s">
        <v>9</v>
      </c>
      <c r="C4" s="4" t="s">
        <v>10</v>
      </c>
      <c r="D4" s="3" t="s">
        <v>11</v>
      </c>
      <c r="E4" s="3" t="s">
        <v>12</v>
      </c>
      <c r="F4" s="3" t="s">
        <v>13</v>
      </c>
      <c r="G4" s="3" t="n">
        <v>2</v>
      </c>
    </row>
    <row r="5" customFormat="false" ht="30" hidden="false" customHeight="true" outlineLevel="0" collapsed="false">
      <c r="A5" s="5" t="s">
        <v>8</v>
      </c>
      <c r="B5" s="6" t="s">
        <v>14</v>
      </c>
      <c r="C5" s="6" t="s">
        <v>10</v>
      </c>
      <c r="D5" s="5" t="s">
        <v>15</v>
      </c>
      <c r="E5" s="5" t="s">
        <v>12</v>
      </c>
      <c r="F5" s="5" t="s">
        <v>16</v>
      </c>
      <c r="G5" s="5" t="n">
        <v>15</v>
      </c>
    </row>
    <row r="6" customFormat="false" ht="30" hidden="false" customHeight="true" outlineLevel="0" collapsed="false">
      <c r="A6" s="3" t="s">
        <v>8</v>
      </c>
      <c r="B6" s="4" t="s">
        <v>17</v>
      </c>
      <c r="C6" s="4" t="s">
        <v>10</v>
      </c>
      <c r="D6" s="3" t="s">
        <v>15</v>
      </c>
      <c r="E6" s="3" t="s">
        <v>18</v>
      </c>
      <c r="F6" s="3" t="s">
        <v>19</v>
      </c>
      <c r="G6" s="3" t="n">
        <v>14</v>
      </c>
    </row>
    <row r="7" customFormat="false" ht="30" hidden="false" customHeight="true" outlineLevel="0" collapsed="false">
      <c r="A7" s="5" t="s">
        <v>8</v>
      </c>
      <c r="B7" s="6" t="s">
        <v>20</v>
      </c>
      <c r="C7" s="6" t="s">
        <v>21</v>
      </c>
      <c r="D7" s="5" t="s">
        <v>22</v>
      </c>
      <c r="E7" s="5" t="s">
        <v>23</v>
      </c>
      <c r="F7" s="5" t="s">
        <v>24</v>
      </c>
      <c r="G7" s="5" t="n">
        <v>3</v>
      </c>
    </row>
    <row r="8" customFormat="false" ht="30" hidden="false" customHeight="true" outlineLevel="0" collapsed="false">
      <c r="A8" s="3" t="s">
        <v>8</v>
      </c>
      <c r="B8" s="4" t="s">
        <v>25</v>
      </c>
      <c r="C8" s="4" t="s">
        <v>26</v>
      </c>
      <c r="D8" s="3" t="s">
        <v>27</v>
      </c>
      <c r="E8" s="3" t="s">
        <v>28</v>
      </c>
      <c r="F8" s="3" t="s">
        <v>29</v>
      </c>
      <c r="G8" s="3" t="n">
        <v>1</v>
      </c>
    </row>
    <row r="9" customFormat="false" ht="30" hidden="false" customHeight="true" outlineLevel="0" collapsed="false">
      <c r="A9" s="5" t="s">
        <v>8</v>
      </c>
      <c r="B9" s="6" t="s">
        <v>30</v>
      </c>
      <c r="C9" s="6" t="s">
        <v>31</v>
      </c>
      <c r="D9" s="5" t="s">
        <v>32</v>
      </c>
      <c r="E9" s="5" t="s">
        <v>33</v>
      </c>
      <c r="F9" s="5" t="s">
        <v>34</v>
      </c>
      <c r="G9" s="5" t="n">
        <v>2</v>
      </c>
    </row>
    <row r="10" customFormat="false" ht="30" hidden="false" customHeight="true" outlineLevel="0" collapsed="false">
      <c r="A10" s="3" t="s">
        <v>8</v>
      </c>
      <c r="B10" s="4" t="s">
        <v>35</v>
      </c>
      <c r="C10" s="4" t="s">
        <v>31</v>
      </c>
      <c r="D10" s="3" t="s">
        <v>36</v>
      </c>
      <c r="E10" s="3" t="s">
        <v>37</v>
      </c>
      <c r="F10" s="3" t="s">
        <v>38</v>
      </c>
      <c r="G10" s="3" t="n">
        <v>8</v>
      </c>
    </row>
    <row r="11" customFormat="false" ht="30" hidden="false" customHeight="true" outlineLevel="0" collapsed="false">
      <c r="A11" s="5" t="s">
        <v>8</v>
      </c>
      <c r="B11" s="6" t="s">
        <v>39</v>
      </c>
      <c r="C11" s="6" t="s">
        <v>31</v>
      </c>
      <c r="D11" s="5" t="s">
        <v>32</v>
      </c>
      <c r="E11" s="5" t="s">
        <v>37</v>
      </c>
      <c r="F11" s="5" t="s">
        <v>40</v>
      </c>
      <c r="G11" s="5" t="n">
        <v>1</v>
      </c>
    </row>
    <row r="12" customFormat="false" ht="30" hidden="false" customHeight="true" outlineLevel="0" collapsed="false">
      <c r="A12" s="3" t="s">
        <v>8</v>
      </c>
      <c r="B12" s="4" t="s">
        <v>41</v>
      </c>
      <c r="C12" s="4" t="s">
        <v>31</v>
      </c>
      <c r="D12" s="3" t="s">
        <v>42</v>
      </c>
      <c r="E12" s="3" t="s">
        <v>37</v>
      </c>
      <c r="F12" s="3" t="s">
        <v>43</v>
      </c>
      <c r="G12" s="3" t="n">
        <v>4</v>
      </c>
    </row>
    <row r="13" customFormat="false" ht="30" hidden="false" customHeight="true" outlineLevel="0" collapsed="false">
      <c r="A13" s="5" t="s">
        <v>8</v>
      </c>
      <c r="B13" s="6" t="s">
        <v>44</v>
      </c>
      <c r="C13" s="6" t="s">
        <v>45</v>
      </c>
      <c r="D13" s="5" t="s">
        <v>46</v>
      </c>
      <c r="E13" s="5" t="s">
        <v>47</v>
      </c>
      <c r="F13" s="5" t="s">
        <v>48</v>
      </c>
      <c r="G13" s="5" t="n">
        <v>1</v>
      </c>
    </row>
    <row r="14" customFormat="false" ht="30" hidden="false" customHeight="true" outlineLevel="0" collapsed="false">
      <c r="A14" s="3" t="s">
        <v>8</v>
      </c>
      <c r="B14" s="4" t="s">
        <v>49</v>
      </c>
      <c r="C14" s="4" t="s">
        <v>50</v>
      </c>
      <c r="D14" s="3" t="s">
        <v>51</v>
      </c>
      <c r="E14" s="3" t="s">
        <v>52</v>
      </c>
      <c r="F14" s="3" t="s">
        <v>53</v>
      </c>
      <c r="G14" s="3" t="n">
        <v>3</v>
      </c>
    </row>
    <row r="15" customFormat="false" ht="30" hidden="false" customHeight="true" outlineLevel="0" collapsed="false">
      <c r="A15" s="5" t="s">
        <v>8</v>
      </c>
      <c r="B15" s="6" t="s">
        <v>54</v>
      </c>
      <c r="C15" s="6" t="s">
        <v>55</v>
      </c>
      <c r="D15" s="5" t="s">
        <v>56</v>
      </c>
      <c r="E15" s="5" t="s">
        <v>57</v>
      </c>
      <c r="F15" s="5" t="s">
        <v>58</v>
      </c>
      <c r="G15" s="5" t="n">
        <v>4</v>
      </c>
    </row>
    <row r="16" customFormat="false" ht="30" hidden="false" customHeight="true" outlineLevel="0" collapsed="false">
      <c r="A16" s="3" t="s">
        <v>8</v>
      </c>
      <c r="B16" s="4" t="s">
        <v>59</v>
      </c>
      <c r="C16" s="4" t="s">
        <v>60</v>
      </c>
      <c r="D16" s="3" t="s">
        <v>61</v>
      </c>
      <c r="E16" s="3" t="s">
        <v>62</v>
      </c>
      <c r="F16" s="3" t="s">
        <v>63</v>
      </c>
      <c r="G16" s="3" t="n">
        <v>2</v>
      </c>
    </row>
    <row r="17" customFormat="false" ht="30" hidden="false" customHeight="true" outlineLevel="0" collapsed="false">
      <c r="A17" s="5" t="s">
        <v>8</v>
      </c>
      <c r="B17" s="6" t="s">
        <v>64</v>
      </c>
      <c r="C17" s="6" t="s">
        <v>65</v>
      </c>
      <c r="D17" s="5" t="s">
        <v>66</v>
      </c>
      <c r="E17" s="5" t="s">
        <v>67</v>
      </c>
      <c r="F17" s="5" t="s">
        <v>68</v>
      </c>
      <c r="G17" s="5" t="n">
        <v>1</v>
      </c>
    </row>
    <row r="18" customFormat="false" ht="30" hidden="false" customHeight="true" outlineLevel="0" collapsed="false">
      <c r="A18" s="3" t="s">
        <v>8</v>
      </c>
      <c r="B18" s="4" t="s">
        <v>69</v>
      </c>
      <c r="C18" s="4" t="s">
        <v>70</v>
      </c>
      <c r="D18" s="3" t="s">
        <v>71</v>
      </c>
      <c r="E18" s="3" t="s">
        <v>72</v>
      </c>
      <c r="F18" s="3" t="s">
        <v>73</v>
      </c>
      <c r="G18" s="3" t="n">
        <v>4</v>
      </c>
    </row>
    <row r="19" customFormat="false" ht="30" hidden="false" customHeight="true" outlineLevel="0" collapsed="false">
      <c r="A19" s="5" t="s">
        <v>8</v>
      </c>
      <c r="B19" s="6" t="s">
        <v>74</v>
      </c>
      <c r="C19" s="6" t="s">
        <v>21</v>
      </c>
      <c r="D19" s="5" t="s">
        <v>75</v>
      </c>
      <c r="E19" s="5" t="s">
        <v>76</v>
      </c>
      <c r="F19" s="5" t="s">
        <v>77</v>
      </c>
      <c r="G19" s="5" t="n">
        <v>1</v>
      </c>
    </row>
    <row r="20" customFormat="false" ht="30" hidden="false" customHeight="true" outlineLevel="0" collapsed="false">
      <c r="A20" s="3" t="s">
        <v>8</v>
      </c>
      <c r="B20" s="4" t="s">
        <v>78</v>
      </c>
      <c r="C20" s="4" t="s">
        <v>10</v>
      </c>
      <c r="D20" s="3" t="s">
        <v>79</v>
      </c>
      <c r="E20" s="3" t="s">
        <v>12</v>
      </c>
      <c r="F20" s="3" t="s">
        <v>80</v>
      </c>
      <c r="G20" s="3" t="n">
        <v>4</v>
      </c>
    </row>
    <row r="21" customFormat="false" ht="30" hidden="false" customHeight="true" outlineLevel="0" collapsed="false">
      <c r="A21" s="5" t="s">
        <v>8</v>
      </c>
      <c r="B21" s="6" t="s">
        <v>81</v>
      </c>
      <c r="C21" s="6" t="s">
        <v>10</v>
      </c>
      <c r="D21" s="5" t="s">
        <v>82</v>
      </c>
      <c r="E21" s="5" t="s">
        <v>12</v>
      </c>
      <c r="F21" s="5" t="s">
        <v>83</v>
      </c>
      <c r="G21" s="5" t="n">
        <v>3</v>
      </c>
    </row>
    <row r="22" customFormat="false" ht="30" hidden="false" customHeight="true" outlineLevel="0" collapsed="false">
      <c r="A22" s="3" t="s">
        <v>8</v>
      </c>
      <c r="B22" s="4" t="s">
        <v>84</v>
      </c>
      <c r="C22" s="4" t="s">
        <v>85</v>
      </c>
      <c r="D22" s="3" t="s">
        <v>86</v>
      </c>
      <c r="E22" s="3" t="s">
        <v>87</v>
      </c>
      <c r="F22" s="3" t="s">
        <v>88</v>
      </c>
      <c r="G22" s="3" t="n">
        <v>1</v>
      </c>
    </row>
    <row r="23" customFormat="false" ht="30" hidden="false" customHeight="true" outlineLevel="0" collapsed="false">
      <c r="A23" s="5" t="s">
        <v>8</v>
      </c>
      <c r="B23" s="6" t="s">
        <v>89</v>
      </c>
      <c r="C23" s="6" t="s">
        <v>90</v>
      </c>
      <c r="D23" s="5" t="s">
        <v>91</v>
      </c>
      <c r="E23" s="5" t="s">
        <v>92</v>
      </c>
      <c r="F23" s="5" t="s">
        <v>93</v>
      </c>
      <c r="G23" s="5" t="n">
        <v>1</v>
      </c>
    </row>
    <row r="24" customFormat="false" ht="30" hidden="false" customHeight="true" outlineLevel="0" collapsed="false">
      <c r="A24" s="7" t="s">
        <v>94</v>
      </c>
      <c r="B24" s="8" t="s">
        <v>95</v>
      </c>
      <c r="C24" s="8" t="s">
        <v>96</v>
      </c>
      <c r="D24" s="7" t="s">
        <v>97</v>
      </c>
      <c r="E24" s="7" t="s">
        <v>95</v>
      </c>
      <c r="F24" s="7"/>
      <c r="G24" s="7" t="n">
        <v>8</v>
      </c>
    </row>
    <row r="25" customFormat="false" ht="30" hidden="false" customHeight="true" outlineLevel="0" collapsed="false">
      <c r="A25" s="7" t="s">
        <v>94</v>
      </c>
      <c r="B25" s="8" t="s">
        <v>95</v>
      </c>
      <c r="C25" s="8" t="s">
        <v>98</v>
      </c>
      <c r="D25" s="7" t="s">
        <v>99</v>
      </c>
      <c r="E25" s="7" t="s">
        <v>95</v>
      </c>
      <c r="F25" s="7"/>
      <c r="G25" s="7" t="n">
        <v>4</v>
      </c>
    </row>
    <row r="26" customFormat="false" ht="30" hidden="false" customHeight="true" outlineLevel="0" collapsed="false">
      <c r="A26" s="7" t="s">
        <v>94</v>
      </c>
      <c r="B26" s="8" t="s">
        <v>95</v>
      </c>
      <c r="C26" s="8" t="s">
        <v>100</v>
      </c>
      <c r="D26" s="7" t="s">
        <v>99</v>
      </c>
      <c r="E26" s="7" t="s">
        <v>95</v>
      </c>
      <c r="F26" s="7"/>
      <c r="G26" s="7" t="n">
        <v>4</v>
      </c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609375" defaultRowHeight="15" zeroHeight="false" outlineLevelRow="0" outlineLevelCol="0"/>
  <cols>
    <col collapsed="false" customWidth="true" hidden="false" outlineLevel="0" max="1" min="1" style="0" width="15.35"/>
    <col collapsed="false" customWidth="true" hidden="false" outlineLevel="0" max="3" min="2" style="0" width="13.17"/>
    <col collapsed="false" customWidth="true" hidden="false" outlineLevel="0" max="5" min="4" style="0" width="30.71"/>
  </cols>
  <sheetData>
    <row r="1" customFormat="false" ht="32" hidden="false" customHeight="true" outlineLevel="0" collapsed="false">
      <c r="A1" s="1" t="s">
        <v>101</v>
      </c>
      <c r="B1" s="1"/>
      <c r="C1" s="1"/>
      <c r="D1" s="1"/>
      <c r="E1" s="1"/>
    </row>
    <row r="3" customFormat="false" ht="15" hidden="false" customHeight="false" outlineLevel="0" collapsed="false">
      <c r="A3" s="9" t="s">
        <v>1</v>
      </c>
      <c r="B3" s="9" t="s">
        <v>102</v>
      </c>
      <c r="C3" s="9" t="s">
        <v>103</v>
      </c>
      <c r="D3" s="9" t="s">
        <v>104</v>
      </c>
      <c r="E3" s="9" t="s">
        <v>105</v>
      </c>
    </row>
    <row r="4" customFormat="false" ht="15" hidden="false" customHeight="false" outlineLevel="0" collapsed="false">
      <c r="A4" s="6" t="s">
        <v>8</v>
      </c>
      <c r="B4" s="10" t="n">
        <f aca="false">COUNTIF(BOM清单!A4:A26,"电子元件")</f>
        <v>20</v>
      </c>
      <c r="C4" s="10" t="n">
        <f aca="false">SUMIF(BOM清单!A4:A26,"电子元件",BOM清单!G4:G26)</f>
        <v>75</v>
      </c>
      <c r="D4" s="6" t="s">
        <v>106</v>
      </c>
      <c r="E4" s="6" t="s">
        <v>107</v>
      </c>
    </row>
    <row r="5" customFormat="false" ht="15" hidden="false" customHeight="false" outlineLevel="0" collapsed="false">
      <c r="A5" s="6" t="s">
        <v>94</v>
      </c>
      <c r="B5" s="10" t="n">
        <f aca="false">COUNTIF(BOM清单!A4:A26,"机械件")</f>
        <v>3</v>
      </c>
      <c r="C5" s="10" t="n">
        <f aca="false">SUMIF(BOM清单!A4:A26,"机械件",BOM清单!G4:G26)</f>
        <v>16</v>
      </c>
      <c r="D5" s="6" t="s">
        <v>108</v>
      </c>
      <c r="E5" s="6" t="s">
        <v>109</v>
      </c>
    </row>
    <row r="6" customFormat="false" ht="15" hidden="false" customHeight="false" outlineLevel="0" collapsed="false">
      <c r="A6" s="11" t="s">
        <v>110</v>
      </c>
      <c r="B6" s="12" t="n">
        <f aca="false">SUM(B4:B5)</f>
        <v>23</v>
      </c>
      <c r="C6" s="12" t="n">
        <f aca="false">SUM(C4:C5)</f>
        <v>91</v>
      </c>
      <c r="D6" s="11" t="s">
        <v>95</v>
      </c>
      <c r="E6" s="11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2026-08-30T21:15:01Z</dcterms:modified>
  <cp:revision>2</cp:revision>
  <dc:subject/>
  <dc:title/>
</cp:coreProperties>
</file>